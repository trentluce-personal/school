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495" yWindow="2265" windowWidth="11340" windowHeight="526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1" i="1"/>
  <c r="F11"/>
  <c r="G11"/>
  <c r="E12"/>
  <c r="F12"/>
  <c r="G12"/>
  <c r="H12" s="1"/>
  <c r="E13"/>
  <c r="F13"/>
  <c r="G13"/>
  <c r="H13"/>
  <c r="I13" s="1"/>
  <c r="E14"/>
  <c r="F14"/>
  <c r="G14"/>
  <c r="E15"/>
  <c r="F15"/>
  <c r="I15" s="1"/>
  <c r="G15"/>
  <c r="H15" s="1"/>
  <c r="E16"/>
  <c r="F16"/>
  <c r="G16"/>
  <c r="H16" s="1"/>
  <c r="I16" s="1"/>
  <c r="E10"/>
  <c r="F10"/>
  <c r="G10"/>
  <c r="H10"/>
  <c r="I10" s="1"/>
  <c r="I12" l="1"/>
  <c r="I14"/>
  <c r="H14"/>
  <c r="H11"/>
  <c r="I11" s="1"/>
</calcChain>
</file>

<file path=xl/sharedStrings.xml><?xml version="1.0" encoding="utf-8"?>
<sst xmlns="http://schemas.openxmlformats.org/spreadsheetml/2006/main" count="16" uniqueCount="16">
  <si>
    <t>Hours/Week</t>
  </si>
  <si>
    <t>Hourly Wage</t>
  </si>
  <si>
    <t>Overhead Factor</t>
  </si>
  <si>
    <t>times weekly labor cost</t>
  </si>
  <si>
    <t>Price per unit</t>
  </si>
  <si>
    <t>Material Cost per pound</t>
  </si>
  <si>
    <t>Number of Workers</t>
  </si>
  <si>
    <t>Week</t>
  </si>
  <si>
    <t>Material in pounds</t>
  </si>
  <si>
    <t>Total Sales in $</t>
  </si>
  <si>
    <t>Total Material Cost</t>
  </si>
  <si>
    <t>Total Labor Cost</t>
  </si>
  <si>
    <t>Total Overhead Cost</t>
  </si>
  <si>
    <t xml:space="preserve">Number of     Units </t>
  </si>
  <si>
    <t>Multifactor Productivity Measure</t>
  </si>
  <si>
    <t>MULTI FACTOR PRODUCTIVITY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</si>
</sst>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5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171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Types of Costs</a:t>
            </a:r>
          </a:p>
        </c:rich>
      </c:tx>
      <c:layout>
        <c:manualLayout>
          <c:xMode val="edge"/>
          <c:yMode val="edge"/>
          <c:x val="0.33986037195447166"/>
          <c:y val="3.260869565217391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475526166088127"/>
          <c:y val="0.27717391304347827"/>
          <c:w val="0.44055974142246329"/>
          <c:h val="0.40760869565217389"/>
        </c:manualLayout>
      </c:layout>
      <c:barChart>
        <c:barDir val="col"/>
        <c:grouping val="clustered"/>
        <c:ser>
          <c:idx val="0"/>
          <c:order val="0"/>
          <c:tx>
            <c:strRef>
              <c:f>Sheet1!$F$9</c:f>
              <c:strCache>
                <c:ptCount val="1"/>
                <c:pt idx="0">
                  <c:v>Total Material Cost</c:v>
                </c:pt>
              </c:strCache>
            </c:strRef>
          </c:tx>
          <c:spPr>
            <a:noFill/>
            <a:ln w="12700">
              <a:solidFill>
                <a:srgbClr val="000000"/>
              </a:solidFill>
              <a:prstDash val="solid"/>
            </a:ln>
          </c:spPr>
          <c:val>
            <c:numRef>
              <c:f>Sheet1!$F$10:$F$16</c:f>
              <c:numCache>
                <c:formatCode>_("$"* #,##0_);_("$"* \(#,##0\);_("$"* "-"??_);_(@_)</c:formatCode>
                <c:ptCount val="7"/>
                <c:pt idx="0">
                  <c:v>270</c:v>
                </c:pt>
                <c:pt idx="1">
                  <c:v>276</c:v>
                </c:pt>
                <c:pt idx="2">
                  <c:v>276</c:v>
                </c:pt>
                <c:pt idx="3">
                  <c:v>288</c:v>
                </c:pt>
                <c:pt idx="4">
                  <c:v>240</c:v>
                </c:pt>
                <c:pt idx="5">
                  <c:v>252</c:v>
                </c:pt>
                <c:pt idx="6">
                  <c:v>276</c:v>
                </c:pt>
              </c:numCache>
            </c:numRef>
          </c:val>
        </c:ser>
        <c:ser>
          <c:idx val="1"/>
          <c:order val="1"/>
          <c:tx>
            <c:strRef>
              <c:f>Sheet1!$G$9</c:f>
              <c:strCache>
                <c:ptCount val="1"/>
                <c:pt idx="0">
                  <c:v>Total Labor Cost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val>
            <c:numRef>
              <c:f>Sheet1!$G$10:$G$16</c:f>
              <c:numCache>
                <c:formatCode>_("$"* #,##0_);_("$"* \(#,##0\);_("$"* "-"??_);_(@_)</c:formatCode>
                <c:ptCount val="7"/>
                <c:pt idx="0">
                  <c:v>2880</c:v>
                </c:pt>
                <c:pt idx="1">
                  <c:v>3360</c:v>
                </c:pt>
                <c:pt idx="2">
                  <c:v>3360</c:v>
                </c:pt>
                <c:pt idx="3">
                  <c:v>3840</c:v>
                </c:pt>
                <c:pt idx="4">
                  <c:v>2400</c:v>
                </c:pt>
                <c:pt idx="5">
                  <c:v>2880</c:v>
                </c:pt>
                <c:pt idx="6">
                  <c:v>3360</c:v>
                </c:pt>
              </c:numCache>
            </c:numRef>
          </c:val>
        </c:ser>
        <c:ser>
          <c:idx val="2"/>
          <c:order val="2"/>
          <c:tx>
            <c:strRef>
              <c:f>Sheet1!$H$9</c:f>
              <c:strCache>
                <c:ptCount val="1"/>
                <c:pt idx="0">
                  <c:v>Total Overhead Cost</c:v>
                </c:pt>
              </c:strCache>
            </c:strRef>
          </c:tx>
          <c:spPr>
            <a:pattFill prst="solid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dPt>
            <c:idx val="6"/>
          </c:dPt>
          <c:val>
            <c:numRef>
              <c:f>Sheet1!$H$10:$H$16</c:f>
              <c:numCache>
                <c:formatCode>_("$"* #,##0_);_("$"* \(#,##0\);_("$"* "-"??_);_(@_)</c:formatCode>
                <c:ptCount val="7"/>
                <c:pt idx="0">
                  <c:v>4320</c:v>
                </c:pt>
                <c:pt idx="1">
                  <c:v>5040</c:v>
                </c:pt>
                <c:pt idx="2">
                  <c:v>5040</c:v>
                </c:pt>
                <c:pt idx="3">
                  <c:v>5760</c:v>
                </c:pt>
                <c:pt idx="4">
                  <c:v>3600</c:v>
                </c:pt>
                <c:pt idx="5">
                  <c:v>4320</c:v>
                </c:pt>
                <c:pt idx="6">
                  <c:v>5040</c:v>
                </c:pt>
              </c:numCache>
            </c:numRef>
          </c:val>
        </c:ser>
        <c:axId val="61100032"/>
        <c:axId val="61102336"/>
      </c:barChart>
      <c:catAx>
        <c:axId val="6110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</a:t>
                </a:r>
              </a:p>
            </c:rich>
          </c:tx>
          <c:layout>
            <c:manualLayout>
              <c:xMode val="edge"/>
              <c:yMode val="edge"/>
              <c:x val="0.41678350140918746"/>
              <c:y val="0.8396739130434782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102336"/>
        <c:crosses val="autoZero"/>
        <c:auto val="1"/>
        <c:lblAlgn val="ctr"/>
        <c:lblOffset val="100"/>
        <c:tickLblSkip val="1"/>
        <c:tickMarkSkip val="1"/>
      </c:catAx>
      <c:valAx>
        <c:axId val="6110233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2.2377637659553692E-2"/>
              <c:y val="0.39673913043478259"/>
            </c:manualLayout>
          </c:layout>
          <c:spPr>
            <a:noFill/>
            <a:ln w="25400">
              <a:noFill/>
            </a:ln>
          </c:spPr>
        </c:title>
        <c:numFmt formatCode="_(&quot;$&quot;* #,##0_);_(&quot;$&quot;* \(#,##0\);_(&quot;$&quot;* &quot;-&quot;??_);_(@_)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1000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349698392221915"/>
          <c:y val="0.36956521739130432"/>
          <c:w val="0.28531488015930956"/>
          <c:h val="0.22282608695652173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18</xdr:row>
      <xdr:rowOff>114300</xdr:rowOff>
    </xdr:from>
    <xdr:to>
      <xdr:col>8</xdr:col>
      <xdr:colOff>714375</xdr:colOff>
      <xdr:row>40</xdr:row>
      <xdr:rowOff>57150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6"/>
  <sheetViews>
    <sheetView tabSelected="1" view="pageLayout" zoomScaleNormal="100" workbookViewId="0">
      <selection activeCell="E6" sqref="E6"/>
    </sheetView>
  </sheetViews>
  <sheetFormatPr defaultRowHeight="12.75"/>
  <cols>
    <col min="1" max="1" width="22.42578125" customWidth="1"/>
    <col min="2" max="2" width="9.28515625" style="2" customWidth="1"/>
    <col min="3" max="3" width="9.42578125" customWidth="1"/>
    <col min="5" max="5" width="12.28515625" bestFit="1" customWidth="1"/>
    <col min="6" max="6" width="9.7109375" bestFit="1" customWidth="1"/>
    <col min="7" max="7" width="11.28515625" bestFit="1" customWidth="1"/>
    <col min="8" max="8" width="10" customWidth="1"/>
    <col min="9" max="9" width="11.7109375" customWidth="1"/>
  </cols>
  <sheetData>
    <row r="1" spans="1:13" ht="15.75">
      <c r="A1" s="1" t="s">
        <v>15</v>
      </c>
    </row>
    <row r="3" spans="1:13">
      <c r="A3" s="6" t="s">
        <v>0</v>
      </c>
      <c r="B3" s="2">
        <v>40</v>
      </c>
    </row>
    <row r="4" spans="1:13">
      <c r="A4" s="6" t="s">
        <v>1</v>
      </c>
      <c r="B4" s="2">
        <v>12</v>
      </c>
    </row>
    <row r="5" spans="1:13">
      <c r="A5" s="6" t="s">
        <v>2</v>
      </c>
      <c r="B5" s="2">
        <v>1.5</v>
      </c>
      <c r="C5" t="s">
        <v>3</v>
      </c>
    </row>
    <row r="6" spans="1:13">
      <c r="A6" s="6" t="s">
        <v>5</v>
      </c>
      <c r="B6" s="2">
        <v>6</v>
      </c>
    </row>
    <row r="7" spans="1:13">
      <c r="A7" s="6" t="s">
        <v>4</v>
      </c>
      <c r="B7" s="2">
        <v>140</v>
      </c>
    </row>
    <row r="9" spans="1:13" ht="39" thickBot="1">
      <c r="A9" s="5" t="s">
        <v>7</v>
      </c>
      <c r="B9" s="5" t="s">
        <v>13</v>
      </c>
      <c r="C9" s="5" t="s">
        <v>6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14</v>
      </c>
      <c r="J9" s="3"/>
      <c r="K9" s="3"/>
      <c r="L9" s="3"/>
      <c r="M9" s="3"/>
    </row>
    <row r="10" spans="1:13">
      <c r="A10" s="2">
        <v>1</v>
      </c>
      <c r="B10" s="2">
        <v>300</v>
      </c>
      <c r="C10" s="2">
        <v>6</v>
      </c>
      <c r="D10" s="2">
        <v>45</v>
      </c>
      <c r="E10" s="7">
        <f>B10*$B$7</f>
        <v>42000</v>
      </c>
      <c r="F10" s="7">
        <f>D10*$B$6</f>
        <v>270</v>
      </c>
      <c r="G10" s="7">
        <f>C10*$B$3*$B$4</f>
        <v>2880</v>
      </c>
      <c r="H10" s="7">
        <f>G10*$B$5</f>
        <v>4320</v>
      </c>
      <c r="I10" s="4">
        <f>E10/(F10+G10+H10)</f>
        <v>5.6224899598393572</v>
      </c>
    </row>
    <row r="11" spans="1:13">
      <c r="A11" s="2">
        <v>2</v>
      </c>
      <c r="B11" s="2">
        <v>338</v>
      </c>
      <c r="C11" s="2">
        <v>7</v>
      </c>
      <c r="D11" s="2">
        <v>46</v>
      </c>
      <c r="E11" s="7">
        <f t="shared" ref="E11:E16" si="0">B11*$B$7</f>
        <v>47320</v>
      </c>
      <c r="F11" s="7">
        <f t="shared" ref="F11:F16" si="1">D11*$B$6</f>
        <v>276</v>
      </c>
      <c r="G11" s="7">
        <f t="shared" ref="G11:G16" si="2">C11*$B$3*$B$4</f>
        <v>3360</v>
      </c>
      <c r="H11" s="7">
        <f t="shared" ref="H11:H16" si="3">G11*$B$5</f>
        <v>5040</v>
      </c>
      <c r="I11" s="4">
        <f t="shared" ref="I11:I16" si="4">E11/(F11+G11+H11)</f>
        <v>5.4541263254956203</v>
      </c>
    </row>
    <row r="12" spans="1:13">
      <c r="A12" s="2">
        <v>3</v>
      </c>
      <c r="B12" s="2">
        <v>322</v>
      </c>
      <c r="C12" s="2">
        <v>7</v>
      </c>
      <c r="D12" s="2">
        <v>46</v>
      </c>
      <c r="E12" s="7">
        <f t="shared" si="0"/>
        <v>45080</v>
      </c>
      <c r="F12" s="7">
        <f t="shared" si="1"/>
        <v>276</v>
      </c>
      <c r="G12" s="7">
        <f t="shared" si="2"/>
        <v>3360</v>
      </c>
      <c r="H12" s="7">
        <f t="shared" si="3"/>
        <v>5040</v>
      </c>
      <c r="I12" s="4">
        <f t="shared" si="4"/>
        <v>5.1959428307976028</v>
      </c>
    </row>
    <row r="13" spans="1:13">
      <c r="A13" s="2">
        <v>4</v>
      </c>
      <c r="B13" s="2">
        <v>354</v>
      </c>
      <c r="C13" s="2">
        <v>8</v>
      </c>
      <c r="D13" s="2">
        <v>48</v>
      </c>
      <c r="E13" s="7">
        <f t="shared" si="0"/>
        <v>49560</v>
      </c>
      <c r="F13" s="7">
        <f t="shared" si="1"/>
        <v>288</v>
      </c>
      <c r="G13" s="7">
        <f t="shared" si="2"/>
        <v>3840</v>
      </c>
      <c r="H13" s="7">
        <f t="shared" si="3"/>
        <v>5760</v>
      </c>
      <c r="I13" s="4">
        <f t="shared" si="4"/>
        <v>5.0121359223300974</v>
      </c>
    </row>
    <row r="14" spans="1:13">
      <c r="A14" s="2">
        <v>5</v>
      </c>
      <c r="B14" s="2">
        <v>222</v>
      </c>
      <c r="C14" s="2">
        <v>5</v>
      </c>
      <c r="D14" s="2">
        <v>40</v>
      </c>
      <c r="E14" s="7">
        <f t="shared" si="0"/>
        <v>31080</v>
      </c>
      <c r="F14" s="7">
        <f t="shared" si="1"/>
        <v>240</v>
      </c>
      <c r="G14" s="7">
        <f t="shared" si="2"/>
        <v>2400</v>
      </c>
      <c r="H14" s="7">
        <f t="shared" si="3"/>
        <v>3600</v>
      </c>
      <c r="I14" s="4">
        <f t="shared" si="4"/>
        <v>4.9807692307692308</v>
      </c>
    </row>
    <row r="15" spans="1:13">
      <c r="A15" s="2">
        <v>6</v>
      </c>
      <c r="B15" s="2">
        <v>265</v>
      </c>
      <c r="C15" s="2">
        <v>6</v>
      </c>
      <c r="D15" s="2">
        <v>42</v>
      </c>
      <c r="E15" s="7">
        <f t="shared" si="0"/>
        <v>37100</v>
      </c>
      <c r="F15" s="7">
        <f t="shared" si="1"/>
        <v>252</v>
      </c>
      <c r="G15" s="7">
        <f t="shared" si="2"/>
        <v>2880</v>
      </c>
      <c r="H15" s="7">
        <f t="shared" si="3"/>
        <v>4320</v>
      </c>
      <c r="I15" s="4">
        <f t="shared" si="4"/>
        <v>4.9785292538915726</v>
      </c>
    </row>
    <row r="16" spans="1:13">
      <c r="A16" s="2">
        <v>7</v>
      </c>
      <c r="B16" s="2">
        <v>310</v>
      </c>
      <c r="C16" s="2">
        <v>7</v>
      </c>
      <c r="D16" s="2">
        <v>46</v>
      </c>
      <c r="E16" s="7">
        <f t="shared" si="0"/>
        <v>43400</v>
      </c>
      <c r="F16" s="7">
        <f t="shared" si="1"/>
        <v>276</v>
      </c>
      <c r="G16" s="7">
        <f t="shared" si="2"/>
        <v>3360</v>
      </c>
      <c r="H16" s="7">
        <f t="shared" si="3"/>
        <v>5040</v>
      </c>
      <c r="I16" s="4">
        <f t="shared" si="4"/>
        <v>5.0023052097740894</v>
      </c>
    </row>
  </sheetData>
  <phoneticPr fontId="0" type="noConversion"/>
  <printOptions headings="1" gridLines="1"/>
  <pageMargins left="0.75" right="0.75" top="1" bottom="1" header="0.5" footer="0.5"/>
  <pageSetup scale="83" orientation="portrait" horizontalDpi="300" verticalDpi="300" r:id="rId1"/>
  <headerFooter alignWithMargins="0">
    <oddHeader>&amp;LDS 350&amp;CSue Abdinnour&amp;R&amp;D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Abdinnour-Helm</dc:creator>
  <cp:lastModifiedBy>shelm</cp:lastModifiedBy>
  <cp:lastPrinted>2010-01-07T17:23:30Z</cp:lastPrinted>
  <dcterms:created xsi:type="dcterms:W3CDTF">2000-01-23T21:19:27Z</dcterms:created>
  <dcterms:modified xsi:type="dcterms:W3CDTF">2010-01-07T17:24:17Z</dcterms:modified>
</cp:coreProperties>
</file>